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Nouveau dossier\Modele_dimensionnel\"/>
    </mc:Choice>
  </mc:AlternateContent>
  <xr:revisionPtr revIDLastSave="0" documentId="13_ncr:1_{0383D150-1AA0-4331-A5E7-A928B15E25C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Feuil1" sheetId="1" state="hidden" r:id="rId1"/>
    <sheet name="LIGN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2" i="2"/>
  <c r="C3" i="2"/>
  <c r="L3" i="2" s="1"/>
  <c r="C4" i="2"/>
  <c r="L4" i="2" s="1"/>
  <c r="C5" i="2"/>
  <c r="L5" i="2" s="1"/>
  <c r="C6" i="2"/>
  <c r="L6" i="2" s="1"/>
  <c r="C7" i="2"/>
  <c r="L7" i="2" s="1"/>
  <c r="C8" i="2"/>
  <c r="L8" i="2" s="1"/>
  <c r="C9" i="2"/>
  <c r="L9" i="2" s="1"/>
  <c r="C10" i="2"/>
  <c r="L10" i="2" s="1"/>
  <c r="C11" i="2"/>
  <c r="L11" i="2" s="1"/>
  <c r="C12" i="2"/>
  <c r="L12" i="2" s="1"/>
  <c r="C13" i="2"/>
  <c r="L13" i="2" s="1"/>
  <c r="C14" i="2"/>
  <c r="L14" i="2" s="1"/>
  <c r="C15" i="2"/>
  <c r="L15" i="2" s="1"/>
  <c r="C16" i="2"/>
  <c r="L16" i="2" s="1"/>
  <c r="C17" i="2"/>
  <c r="L17" i="2" s="1"/>
  <c r="C2" i="2"/>
  <c r="L2" i="2" s="1"/>
</calcChain>
</file>

<file path=xl/sharedStrings.xml><?xml version="1.0" encoding="utf-8"?>
<sst xmlns="http://schemas.openxmlformats.org/spreadsheetml/2006/main" count="126" uniqueCount="55">
  <si>
    <t>ID_LIGNE</t>
  </si>
  <si>
    <t>ROUTE</t>
  </si>
  <si>
    <t>TYPE_TRAJET</t>
  </si>
  <si>
    <t>PARCOURS</t>
  </si>
  <si>
    <t>AEROPORT_DEPART</t>
  </si>
  <si>
    <t>AEROPORT_ARRIVEE</t>
  </si>
  <si>
    <t>CONTINENT</t>
  </si>
  <si>
    <t>SOUS_REGION</t>
  </si>
  <si>
    <t>MARCHE_PAYS</t>
  </si>
  <si>
    <t>DISTANCE_KM</t>
  </si>
  <si>
    <t>TARIF_GDS_TND</t>
  </si>
  <si>
    <t>ACCOMMODATION_MOY_TND</t>
  </si>
  <si>
    <t>TUN-ORN/ORN-TUN</t>
  </si>
  <si>
    <t>TUNIS-ORAN-TUNIS</t>
  </si>
  <si>
    <t>TUN</t>
  </si>
  <si>
    <t>ORN</t>
  </si>
  <si>
    <t>AFRICA</t>
  </si>
  <si>
    <t>NORTHERN AFRICA</t>
  </si>
  <si>
    <t>ALGERIA</t>
  </si>
  <si>
    <t>TUN-JED/JED-TUN</t>
  </si>
  <si>
    <t>TUNIS-JEDDAH-TUNIS</t>
  </si>
  <si>
    <t>JED</t>
  </si>
  <si>
    <t>ASIA</t>
  </si>
  <si>
    <t>WESTERN ASIA</t>
  </si>
  <si>
    <t>SAUDI ARABIA</t>
  </si>
  <si>
    <t>TUN-ORY/ORY-TUN</t>
  </si>
  <si>
    <t>TUNIS-PARIS-TUNIS</t>
  </si>
  <si>
    <t>ORY</t>
  </si>
  <si>
    <t>EUROPE</t>
  </si>
  <si>
    <t>WESTERN EUROPE</t>
  </si>
  <si>
    <t>FRANCE</t>
  </si>
  <si>
    <t>TUN-NIM-ABJ/ABJ-TUN</t>
  </si>
  <si>
    <t>TUNIS-NIAMEY-ABIDJAN-TUNIS</t>
  </si>
  <si>
    <t>NIM</t>
  </si>
  <si>
    <t>SUB-SAHARAN AFRICA</t>
  </si>
  <si>
    <t>NIGER - IVORY COAST</t>
  </si>
  <si>
    <t>ABJ</t>
  </si>
  <si>
    <t>TUN-ALG/ALG-TUN</t>
  </si>
  <si>
    <t>TUNIS-ALGIERS-TUNIS</t>
  </si>
  <si>
    <t>ALG</t>
  </si>
  <si>
    <t>TUN-LYS/LYS-TUN</t>
  </si>
  <si>
    <t>TUNIS-LYON-TUNIS</t>
  </si>
  <si>
    <t>LYS</t>
  </si>
  <si>
    <t>TUN-YUL/YUL-TUN</t>
  </si>
  <si>
    <t>TUNIS-MONTREAL-TUNIS</t>
  </si>
  <si>
    <t>YUL</t>
  </si>
  <si>
    <t>AMERICAS</t>
  </si>
  <si>
    <t>NORTHERN AMERICA</t>
  </si>
  <si>
    <t>CANADA</t>
  </si>
  <si>
    <t>TUN-JNB</t>
  </si>
  <si>
    <t>TUNIS-JOHANNESBURG</t>
  </si>
  <si>
    <t>JNB</t>
  </si>
  <si>
    <t>SOUTH AFRICA</t>
  </si>
  <si>
    <t>DISTANCE_CORRIGEE</t>
  </si>
  <si>
    <t>LIGNE_SIMPLIFIEE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</si>
</sst>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1F4E79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" fontId="3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" fontId="3" fillId="4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EDDA-C593-476F-9CD3-49765EA47799}">
  <dimension ref="A1:N17"/>
  <sheetViews>
    <sheetView tabSelected="1" topLeftCell="C1" workbookViewId="0">
      <selection activeCell="G21" sqref="G21"/>
    </sheetView>
  </sheetViews>
  <sheetFormatPr baseColWidth="10" defaultColWidth="8.88671875" defaultRowHeight="14.4" x14ac:dyDescent="0.3"/>
  <cols>
    <col min="1" max="1" width="11" customWidth="1"/>
    <col min="2" max="3" width="22" customWidth="1"/>
    <col min="4" max="4" width="29" customWidth="1"/>
    <col min="5" max="5" width="18" customWidth="1"/>
    <col min="6" max="6" width="19" customWidth="1"/>
    <col min="7" max="7" width="9.21875" bestFit="1" customWidth="1"/>
    <col min="8" max="8" width="12" customWidth="1"/>
    <col min="9" max="9" width="21" customWidth="1"/>
    <col min="10" max="10" width="22" customWidth="1"/>
    <col min="11" max="11" width="14" customWidth="1"/>
    <col min="12" max="12" width="21.88671875" bestFit="1" customWidth="1"/>
    <col min="13" max="13" width="16" customWidth="1"/>
    <col min="14" max="14" width="24" customWidth="1"/>
  </cols>
  <sheetData>
    <row r="1" spans="1:14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53</v>
      </c>
      <c r="M1" s="1" t="s">
        <v>10</v>
      </c>
      <c r="N1" s="1" t="s">
        <v>11</v>
      </c>
    </row>
    <row r="2" spans="1:14" ht="15" customHeight="1" x14ac:dyDescent="0.3">
      <c r="A2" s="2">
        <v>1</v>
      </c>
      <c r="B2" s="3" t="s">
        <v>12</v>
      </c>
      <c r="C2" s="3" t="str">
        <f>IF(ISNUMBER(SEARCH("/",B2)),"Aller-retour","Aller simple")</f>
        <v>Aller-retour</v>
      </c>
      <c r="D2" s="3" t="s">
        <v>13</v>
      </c>
      <c r="E2" s="3" t="s">
        <v>14</v>
      </c>
      <c r="F2" s="3" t="s">
        <v>15</v>
      </c>
      <c r="G2" t="str">
        <f>E2 &amp; "-" &amp; F2</f>
        <v>TUN-ORN</v>
      </c>
      <c r="H2" s="3" t="s">
        <v>16</v>
      </c>
      <c r="I2" s="3" t="s">
        <v>17</v>
      </c>
      <c r="J2" s="3" t="s">
        <v>18</v>
      </c>
      <c r="K2" s="4">
        <v>981.93</v>
      </c>
      <c r="L2" s="8">
        <f>IF(C2="Aller simple",K2*2,K2)</f>
        <v>981.93</v>
      </c>
      <c r="M2" s="4">
        <v>39</v>
      </c>
      <c r="N2" s="4">
        <v>1823.39</v>
      </c>
    </row>
    <row r="3" spans="1:14" ht="15" customHeight="1" x14ac:dyDescent="0.3">
      <c r="A3" s="5">
        <v>2</v>
      </c>
      <c r="B3" s="6" t="s">
        <v>12</v>
      </c>
      <c r="C3" s="3" t="str">
        <f t="shared" ref="C3:C17" si="0">IF(ISNUMBER(SEARCH("/",B3)),"Aller-retour","Aller simple")</f>
        <v>Aller-retour</v>
      </c>
      <c r="D3" s="6" t="s">
        <v>13</v>
      </c>
      <c r="E3" s="6" t="s">
        <v>15</v>
      </c>
      <c r="F3" s="6" t="s">
        <v>14</v>
      </c>
      <c r="G3" t="str">
        <f t="shared" ref="G3:G17" si="1">E3 &amp; "-" &amp; F3</f>
        <v>ORN-TUN</v>
      </c>
      <c r="H3" s="6" t="s">
        <v>16</v>
      </c>
      <c r="I3" s="6" t="s">
        <v>17</v>
      </c>
      <c r="J3" s="6" t="s">
        <v>18</v>
      </c>
      <c r="K3" s="7">
        <v>981.93</v>
      </c>
      <c r="L3" s="8">
        <f t="shared" ref="L3:L17" si="2">IF(C3="Aller simple",K3*2,K3)</f>
        <v>981.93</v>
      </c>
      <c r="M3" s="7">
        <v>39</v>
      </c>
      <c r="N3" s="7">
        <v>1823.39</v>
      </c>
    </row>
    <row r="4" spans="1:14" ht="15" customHeight="1" x14ac:dyDescent="0.3">
      <c r="A4" s="2">
        <v>3</v>
      </c>
      <c r="B4" s="3" t="s">
        <v>19</v>
      </c>
      <c r="C4" s="3" t="str">
        <f t="shared" si="0"/>
        <v>Aller-retour</v>
      </c>
      <c r="D4" s="3" t="s">
        <v>20</v>
      </c>
      <c r="E4" s="3" t="s">
        <v>14</v>
      </c>
      <c r="F4" s="3" t="s">
        <v>21</v>
      </c>
      <c r="G4" t="str">
        <f t="shared" si="1"/>
        <v>TUN-JED</v>
      </c>
      <c r="H4" s="3" t="s">
        <v>22</v>
      </c>
      <c r="I4" s="3" t="s">
        <v>23</v>
      </c>
      <c r="J4" s="3" t="s">
        <v>24</v>
      </c>
      <c r="K4" s="4">
        <v>3254.23</v>
      </c>
      <c r="L4" s="8">
        <f t="shared" si="2"/>
        <v>3254.23</v>
      </c>
      <c r="M4" s="4">
        <v>22</v>
      </c>
      <c r="N4" s="4">
        <v>1853.75</v>
      </c>
    </row>
    <row r="5" spans="1:14" ht="15" customHeight="1" x14ac:dyDescent="0.3">
      <c r="A5" s="5">
        <v>4</v>
      </c>
      <c r="B5" s="6" t="s">
        <v>19</v>
      </c>
      <c r="C5" s="3" t="str">
        <f t="shared" si="0"/>
        <v>Aller-retour</v>
      </c>
      <c r="D5" s="6" t="s">
        <v>20</v>
      </c>
      <c r="E5" s="6" t="s">
        <v>21</v>
      </c>
      <c r="F5" s="6" t="s">
        <v>14</v>
      </c>
      <c r="G5" t="str">
        <f t="shared" si="1"/>
        <v>JED-TUN</v>
      </c>
      <c r="H5" s="6" t="s">
        <v>22</v>
      </c>
      <c r="I5" s="6" t="s">
        <v>23</v>
      </c>
      <c r="J5" s="6" t="s">
        <v>24</v>
      </c>
      <c r="K5" s="7">
        <v>3254.23</v>
      </c>
      <c r="L5" s="8">
        <f t="shared" si="2"/>
        <v>3254.23</v>
      </c>
      <c r="M5" s="7">
        <v>22</v>
      </c>
      <c r="N5" s="7">
        <v>1853.75</v>
      </c>
    </row>
    <row r="6" spans="1:14" ht="15" customHeight="1" x14ac:dyDescent="0.3">
      <c r="A6" s="2">
        <v>5</v>
      </c>
      <c r="B6" s="3" t="s">
        <v>25</v>
      </c>
      <c r="C6" s="3" t="str">
        <f t="shared" si="0"/>
        <v>Aller-retour</v>
      </c>
      <c r="D6" s="3" t="s">
        <v>26</v>
      </c>
      <c r="E6" s="3" t="s">
        <v>14</v>
      </c>
      <c r="F6" s="3" t="s">
        <v>27</v>
      </c>
      <c r="G6" t="str">
        <f t="shared" si="1"/>
        <v>TUN-ORY</v>
      </c>
      <c r="H6" s="3" t="s">
        <v>28</v>
      </c>
      <c r="I6" s="3" t="s">
        <v>29</v>
      </c>
      <c r="J6" s="3" t="s">
        <v>30</v>
      </c>
      <c r="K6" s="4">
        <v>1465.38</v>
      </c>
      <c r="L6" s="8">
        <f t="shared" si="2"/>
        <v>1465.38</v>
      </c>
      <c r="M6" s="4">
        <v>84</v>
      </c>
      <c r="N6" s="4">
        <v>2283.69</v>
      </c>
    </row>
    <row r="7" spans="1:14" ht="15" customHeight="1" x14ac:dyDescent="0.3">
      <c r="A7" s="5">
        <v>6</v>
      </c>
      <c r="B7" s="6" t="s">
        <v>25</v>
      </c>
      <c r="C7" s="3" t="str">
        <f t="shared" si="0"/>
        <v>Aller-retour</v>
      </c>
      <c r="D7" s="6" t="s">
        <v>26</v>
      </c>
      <c r="E7" s="6" t="s">
        <v>27</v>
      </c>
      <c r="F7" s="6" t="s">
        <v>14</v>
      </c>
      <c r="G7" t="str">
        <f t="shared" si="1"/>
        <v>ORY-TUN</v>
      </c>
      <c r="H7" s="6" t="s">
        <v>28</v>
      </c>
      <c r="I7" s="6" t="s">
        <v>29</v>
      </c>
      <c r="J7" s="6" t="s">
        <v>30</v>
      </c>
      <c r="K7" s="7">
        <v>1465.38</v>
      </c>
      <c r="L7" s="8">
        <f t="shared" si="2"/>
        <v>1465.38</v>
      </c>
      <c r="M7" s="7">
        <v>84</v>
      </c>
      <c r="N7" s="7">
        <v>2283.69</v>
      </c>
    </row>
    <row r="8" spans="1:14" ht="15" customHeight="1" x14ac:dyDescent="0.3">
      <c r="A8" s="2">
        <v>7</v>
      </c>
      <c r="B8" s="3" t="s">
        <v>31</v>
      </c>
      <c r="C8" s="3" t="str">
        <f t="shared" si="0"/>
        <v>Aller-retour</v>
      </c>
      <c r="D8" s="3" t="s">
        <v>32</v>
      </c>
      <c r="E8" s="3" t="s">
        <v>14</v>
      </c>
      <c r="F8" s="3" t="s">
        <v>33</v>
      </c>
      <c r="G8" t="str">
        <f t="shared" si="1"/>
        <v>TUN-NIM</v>
      </c>
      <c r="H8" s="3" t="s">
        <v>16</v>
      </c>
      <c r="I8" s="3" t="s">
        <v>34</v>
      </c>
      <c r="J8" s="3" t="s">
        <v>35</v>
      </c>
      <c r="K8" s="4">
        <v>2718.91</v>
      </c>
      <c r="L8" s="8">
        <f t="shared" si="2"/>
        <v>2718.91</v>
      </c>
      <c r="M8" s="4">
        <v>51</v>
      </c>
      <c r="N8" s="4">
        <v>2579.25</v>
      </c>
    </row>
    <row r="9" spans="1:14" ht="15" customHeight="1" x14ac:dyDescent="0.3">
      <c r="A9" s="5">
        <v>8</v>
      </c>
      <c r="B9" s="6" t="s">
        <v>31</v>
      </c>
      <c r="C9" s="3" t="str">
        <f t="shared" si="0"/>
        <v>Aller-retour</v>
      </c>
      <c r="D9" s="6" t="s">
        <v>32</v>
      </c>
      <c r="E9" s="6" t="s">
        <v>33</v>
      </c>
      <c r="F9" s="6" t="s">
        <v>36</v>
      </c>
      <c r="G9" t="str">
        <f t="shared" si="1"/>
        <v>NIM-ABJ</v>
      </c>
      <c r="H9" s="6" t="s">
        <v>16</v>
      </c>
      <c r="I9" s="6" t="s">
        <v>34</v>
      </c>
      <c r="J9" s="6" t="s">
        <v>35</v>
      </c>
      <c r="K9" s="7">
        <v>1133.1099999999999</v>
      </c>
      <c r="L9" s="8">
        <f t="shared" si="2"/>
        <v>1133.1099999999999</v>
      </c>
      <c r="M9" s="7">
        <v>51</v>
      </c>
      <c r="N9" s="7">
        <v>2579.25</v>
      </c>
    </row>
    <row r="10" spans="1:14" ht="15" customHeight="1" x14ac:dyDescent="0.3">
      <c r="A10" s="2">
        <v>9</v>
      </c>
      <c r="B10" s="3" t="s">
        <v>37</v>
      </c>
      <c r="C10" s="3" t="str">
        <f t="shared" si="0"/>
        <v>Aller-retour</v>
      </c>
      <c r="D10" s="3" t="s">
        <v>38</v>
      </c>
      <c r="E10" s="3" t="s">
        <v>14</v>
      </c>
      <c r="F10" s="3" t="s">
        <v>39</v>
      </c>
      <c r="G10" t="str">
        <f t="shared" si="1"/>
        <v>TUN-ALG</v>
      </c>
      <c r="H10" s="3" t="s">
        <v>16</v>
      </c>
      <c r="I10" s="3" t="s">
        <v>17</v>
      </c>
      <c r="J10" s="3" t="s">
        <v>18</v>
      </c>
      <c r="K10" s="4">
        <v>624.66</v>
      </c>
      <c r="L10" s="8">
        <f t="shared" si="2"/>
        <v>624.66</v>
      </c>
      <c r="M10" s="4">
        <v>39</v>
      </c>
      <c r="N10" s="4">
        <v>1650.09</v>
      </c>
    </row>
    <row r="11" spans="1:14" ht="15" customHeight="1" x14ac:dyDescent="0.3">
      <c r="A11" s="5">
        <v>10</v>
      </c>
      <c r="B11" s="6" t="s">
        <v>37</v>
      </c>
      <c r="C11" s="3" t="str">
        <f t="shared" si="0"/>
        <v>Aller-retour</v>
      </c>
      <c r="D11" s="6" t="s">
        <v>38</v>
      </c>
      <c r="E11" s="6" t="s">
        <v>39</v>
      </c>
      <c r="F11" s="6" t="s">
        <v>14</v>
      </c>
      <c r="G11" t="str">
        <f t="shared" si="1"/>
        <v>ALG-TUN</v>
      </c>
      <c r="H11" s="6" t="s">
        <v>16</v>
      </c>
      <c r="I11" s="6" t="s">
        <v>17</v>
      </c>
      <c r="J11" s="6" t="s">
        <v>18</v>
      </c>
      <c r="K11" s="7">
        <v>624.66</v>
      </c>
      <c r="L11" s="8">
        <f t="shared" si="2"/>
        <v>624.66</v>
      </c>
      <c r="M11" s="7">
        <v>39</v>
      </c>
      <c r="N11" s="7">
        <v>1650.09</v>
      </c>
    </row>
    <row r="12" spans="1:14" ht="15" customHeight="1" x14ac:dyDescent="0.3">
      <c r="A12" s="2">
        <v>11</v>
      </c>
      <c r="B12" s="3" t="s">
        <v>40</v>
      </c>
      <c r="C12" s="3" t="str">
        <f t="shared" si="0"/>
        <v>Aller-retour</v>
      </c>
      <c r="D12" s="3" t="s">
        <v>41</v>
      </c>
      <c r="E12" s="3" t="s">
        <v>14</v>
      </c>
      <c r="F12" s="3" t="s">
        <v>42</v>
      </c>
      <c r="G12" t="str">
        <f t="shared" si="1"/>
        <v>TUN-LYS</v>
      </c>
      <c r="H12" s="3" t="s">
        <v>28</v>
      </c>
      <c r="I12" s="3" t="s">
        <v>29</v>
      </c>
      <c r="J12" s="3" t="s">
        <v>30</v>
      </c>
      <c r="K12" s="4">
        <v>1075.81</v>
      </c>
      <c r="L12" s="8">
        <f t="shared" si="2"/>
        <v>1075.81</v>
      </c>
      <c r="M12" s="4">
        <v>84</v>
      </c>
      <c r="N12" s="4">
        <v>2252.5100000000002</v>
      </c>
    </row>
    <row r="13" spans="1:14" ht="15" customHeight="1" x14ac:dyDescent="0.3">
      <c r="A13" s="5">
        <v>12</v>
      </c>
      <c r="B13" s="6" t="s">
        <v>40</v>
      </c>
      <c r="C13" s="3" t="str">
        <f t="shared" si="0"/>
        <v>Aller-retour</v>
      </c>
      <c r="D13" s="6" t="s">
        <v>41</v>
      </c>
      <c r="E13" s="6" t="s">
        <v>42</v>
      </c>
      <c r="F13" s="6" t="s">
        <v>14</v>
      </c>
      <c r="G13" t="str">
        <f t="shared" si="1"/>
        <v>LYS-TUN</v>
      </c>
      <c r="H13" s="6" t="s">
        <v>28</v>
      </c>
      <c r="I13" s="6" t="s">
        <v>29</v>
      </c>
      <c r="J13" s="6" t="s">
        <v>30</v>
      </c>
      <c r="K13" s="7">
        <v>1075.81</v>
      </c>
      <c r="L13" s="8">
        <f t="shared" si="2"/>
        <v>1075.81</v>
      </c>
      <c r="M13" s="7">
        <v>84</v>
      </c>
      <c r="N13" s="7">
        <v>2252.5100000000002</v>
      </c>
    </row>
    <row r="14" spans="1:14" ht="15" customHeight="1" x14ac:dyDescent="0.3">
      <c r="A14" s="2">
        <v>13</v>
      </c>
      <c r="B14" s="3" t="s">
        <v>43</v>
      </c>
      <c r="C14" s="3" t="str">
        <f t="shared" si="0"/>
        <v>Aller-retour</v>
      </c>
      <c r="D14" s="3" t="s">
        <v>44</v>
      </c>
      <c r="E14" s="3" t="s">
        <v>14</v>
      </c>
      <c r="F14" s="3" t="s">
        <v>45</v>
      </c>
      <c r="G14" t="str">
        <f t="shared" si="1"/>
        <v>TUN-YUL</v>
      </c>
      <c r="H14" s="3" t="s">
        <v>46</v>
      </c>
      <c r="I14" s="3" t="s">
        <v>47</v>
      </c>
      <c r="J14" s="3" t="s">
        <v>48</v>
      </c>
      <c r="K14" s="4">
        <v>6770.46</v>
      </c>
      <c r="L14" s="8">
        <f t="shared" si="2"/>
        <v>6770.46</v>
      </c>
      <c r="M14" s="4">
        <v>123</v>
      </c>
      <c r="N14" s="4">
        <v>3009.03</v>
      </c>
    </row>
    <row r="15" spans="1:14" ht="15" customHeight="1" x14ac:dyDescent="0.3">
      <c r="A15" s="5">
        <v>14</v>
      </c>
      <c r="B15" s="6" t="s">
        <v>43</v>
      </c>
      <c r="C15" s="3" t="str">
        <f t="shared" si="0"/>
        <v>Aller-retour</v>
      </c>
      <c r="D15" s="6" t="s">
        <v>44</v>
      </c>
      <c r="E15" s="6" t="s">
        <v>45</v>
      </c>
      <c r="F15" s="6" t="s">
        <v>14</v>
      </c>
      <c r="G15" t="str">
        <f t="shared" si="1"/>
        <v>YUL-TUN</v>
      </c>
      <c r="H15" s="6" t="s">
        <v>46</v>
      </c>
      <c r="I15" s="6" t="s">
        <v>47</v>
      </c>
      <c r="J15" s="6" t="s">
        <v>48</v>
      </c>
      <c r="K15" s="7">
        <v>6770.46</v>
      </c>
      <c r="L15" s="8">
        <f t="shared" si="2"/>
        <v>6770.46</v>
      </c>
      <c r="M15" s="7">
        <v>123</v>
      </c>
      <c r="N15" s="7">
        <v>3009.03</v>
      </c>
    </row>
    <row r="16" spans="1:14" ht="15" customHeight="1" x14ac:dyDescent="0.3">
      <c r="A16" s="2">
        <v>15</v>
      </c>
      <c r="B16" s="3" t="s">
        <v>49</v>
      </c>
      <c r="C16" s="3" t="str">
        <f t="shared" si="0"/>
        <v>Aller simple</v>
      </c>
      <c r="D16" s="3" t="s">
        <v>50</v>
      </c>
      <c r="E16" s="3" t="s">
        <v>14</v>
      </c>
      <c r="F16" s="3" t="s">
        <v>51</v>
      </c>
      <c r="G16" t="str">
        <f t="shared" si="1"/>
        <v>TUN-JNB</v>
      </c>
      <c r="H16" s="3" t="s">
        <v>16</v>
      </c>
      <c r="I16" s="3" t="s">
        <v>34</v>
      </c>
      <c r="J16" s="3" t="s">
        <v>52</v>
      </c>
      <c r="K16" s="4">
        <v>7253.71</v>
      </c>
      <c r="L16" s="8">
        <f t="shared" si="2"/>
        <v>14507.42</v>
      </c>
      <c r="M16" s="4">
        <v>68</v>
      </c>
      <c r="N16" s="4">
        <v>4032.09</v>
      </c>
    </row>
    <row r="17" spans="1:14" ht="15" customHeight="1" x14ac:dyDescent="0.3">
      <c r="A17" s="5">
        <v>16</v>
      </c>
      <c r="B17" s="6" t="s">
        <v>31</v>
      </c>
      <c r="C17" s="3" t="str">
        <f t="shared" si="0"/>
        <v>Aller-retour</v>
      </c>
      <c r="D17" s="6" t="s">
        <v>32</v>
      </c>
      <c r="E17" s="6" t="s">
        <v>36</v>
      </c>
      <c r="F17" s="6" t="s">
        <v>14</v>
      </c>
      <c r="G17" t="str">
        <f t="shared" si="1"/>
        <v>ABJ-TUN</v>
      </c>
      <c r="H17" s="6" t="s">
        <v>16</v>
      </c>
      <c r="I17" s="6" t="s">
        <v>34</v>
      </c>
      <c r="J17" s="6" t="s">
        <v>35</v>
      </c>
      <c r="K17" s="7">
        <v>3796.59</v>
      </c>
      <c r="L17" s="8">
        <f t="shared" si="2"/>
        <v>3796.59</v>
      </c>
      <c r="M17" s="7">
        <v>51</v>
      </c>
      <c r="N17" s="7">
        <v>2579.25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LIGNE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Rania Cherif</cp:lastModifiedBy>
  <cp:revision/>
  <dcterms:created xsi:type="dcterms:W3CDTF">2026-04-02T13:26:37Z</dcterms:created>
  <dcterms:modified xsi:type="dcterms:W3CDTF">2026-04-06T14:44:02Z</dcterms:modified>
  <cp:category/>
  <cp:contentStatus/>
</cp:coreProperties>
</file>